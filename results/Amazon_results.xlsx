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niversita\Tesi\Prompt\Excel\Confronti baseline_reranked\finali\"/>
    </mc:Choice>
  </mc:AlternateContent>
  <xr:revisionPtr revIDLastSave="0" documentId="13_ncr:1_{7F162864-CD5A-4164-B286-B4B90C1F029D}" xr6:coauthVersionLast="47" xr6:coauthVersionMax="47" xr10:uidLastSave="{00000000-0000-0000-0000-000000000000}"/>
  <bookViews>
    <workbookView xWindow="-108" yWindow="-108" windowWidth="23256" windowHeight="12456" tabRatio="500" firstSheet="1" activeTab="4" xr2:uid="{00000000-000D-0000-FFFF-FFFF00000000}"/>
  </bookViews>
  <sheets>
    <sheet name="ndcg" sheetId="1" r:id="rId1"/>
    <sheet name="recall" sheetId="2" r:id="rId2"/>
    <sheet name="precision" sheetId="3" r:id="rId3"/>
    <sheet name="averagepopularity" sheetId="4" r:id="rId4"/>
    <sheet name="giniindex" sheetId="5" r:id="rId5"/>
    <sheet name="shannonentropy" sheetId="6" r:id="rId6"/>
    <sheet name="Novelty" sheetId="7" r:id="rId7"/>
    <sheet name="ItemCoverage" sheetId="8" r:id="rId8"/>
    <sheet name="Serendipity_Ge" sheetId="9" r:id="rId9"/>
    <sheet name="Serendipity_Yan" sheetId="10" r:id="rId10"/>
    <sheet name="Unexpectedness" sheetId="11" r:id="rId1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5" i="4" l="1"/>
  <c r="F5" i="4"/>
</calcChain>
</file>

<file path=xl/sharedStrings.xml><?xml version="1.0" encoding="utf-8"?>
<sst xmlns="http://schemas.openxmlformats.org/spreadsheetml/2006/main" count="132" uniqueCount="72">
  <si>
    <t>Model</t>
  </si>
  <si>
    <t>ndcg@5</t>
  </si>
  <si>
    <t>ndcg@10</t>
  </si>
  <si>
    <t>ndcg@5_reranked</t>
  </si>
  <si>
    <t>ndcg@10_reranked</t>
  </si>
  <si>
    <t>Delta_ndcg@5</t>
  </si>
  <si>
    <t>Delta_ndcg@10</t>
  </si>
  <si>
    <t>LightGCN</t>
  </si>
  <si>
    <t>BPR</t>
  </si>
  <si>
    <t>DMF</t>
  </si>
  <si>
    <t>KGCN</t>
  </si>
  <si>
    <t>CKE</t>
  </si>
  <si>
    <t>recall@5</t>
  </si>
  <si>
    <t>recall@10</t>
  </si>
  <si>
    <t>recall@5_reranked</t>
  </si>
  <si>
    <t>recall@10_reranked</t>
  </si>
  <si>
    <t>Delta_recall@5</t>
  </si>
  <si>
    <t>Delta_recall@10</t>
  </si>
  <si>
    <t>precision@5</t>
  </si>
  <si>
    <t>precision@10</t>
  </si>
  <si>
    <t>precision@5_reranked</t>
  </si>
  <si>
    <t>precision@10_reranked</t>
  </si>
  <si>
    <t>Delta_precision@5</t>
  </si>
  <si>
    <t>Delta_precision@10</t>
  </si>
  <si>
    <t>averagepopularity@5</t>
  </si>
  <si>
    <t>averagepopularity@10</t>
  </si>
  <si>
    <t>averagepopularity@5_reranked</t>
  </si>
  <si>
    <t>averagepopularity@10_reranked</t>
  </si>
  <si>
    <t>Delta_averagepopularity@5</t>
  </si>
  <si>
    <t>Delta_averagepopularity@10</t>
  </si>
  <si>
    <t>giniindex@5</t>
  </si>
  <si>
    <t>giniindex@10</t>
  </si>
  <si>
    <t>giniindex@5_reranked</t>
  </si>
  <si>
    <t>giniindex@10_reranked</t>
  </si>
  <si>
    <t>Delta_giniindex@5</t>
  </si>
  <si>
    <t>Delta_giniindex@10</t>
  </si>
  <si>
    <t>shannonentropy@5</t>
  </si>
  <si>
    <t>shannonentropy@10</t>
  </si>
  <si>
    <t>shannonentropy@5_reranked</t>
  </si>
  <si>
    <t>shannonentropy@10_reranked</t>
  </si>
  <si>
    <t>Delta_shannonentropy@5</t>
  </si>
  <si>
    <t>Delta_shannonentropy@10</t>
  </si>
  <si>
    <t>Novelty@5</t>
  </si>
  <si>
    <t>Novelty@10</t>
  </si>
  <si>
    <t>Novelty@5_reranked</t>
  </si>
  <si>
    <t>Novelty@10_reranked</t>
  </si>
  <si>
    <t>Delta_Novelty@5</t>
  </si>
  <si>
    <t>Delta_Novelty@10</t>
  </si>
  <si>
    <t>ItemCoverage@5</t>
  </si>
  <si>
    <t>ItemCoverage@10</t>
  </si>
  <si>
    <t>ItemCoverage@5_reranked</t>
  </si>
  <si>
    <t>ItemCoverage@10_reranked</t>
  </si>
  <si>
    <t>Delta_ItemCoverage@5</t>
  </si>
  <si>
    <t>Delta_ItemCoverage@10</t>
  </si>
  <si>
    <t>Serendipity_Ge@5</t>
  </si>
  <si>
    <t>Serendipity_Ge@10</t>
  </si>
  <si>
    <t>Serendipity_Ge@5_reranked</t>
  </si>
  <si>
    <t>Serendipity_Ge@10_reranked</t>
  </si>
  <si>
    <t>Delta_Serendipity_Ge@5</t>
  </si>
  <si>
    <t>Delta_Serendipity_Ge@10</t>
  </si>
  <si>
    <t>Serendipity_Yan@5</t>
  </si>
  <si>
    <t>Serendipity_Yan@10</t>
  </si>
  <si>
    <t>Serendipity_Yan@5_reranked</t>
  </si>
  <si>
    <t>Serendipity_Yan@10_reranked</t>
  </si>
  <si>
    <t>Delta_Serendipity_Yan@5</t>
  </si>
  <si>
    <t>Delta_Serendipity_Yan@10</t>
  </si>
  <si>
    <t>Unexpectedness@5</t>
  </si>
  <si>
    <t>Unexpectedness@10</t>
  </si>
  <si>
    <t>Unexpectedness@5_reranked</t>
  </si>
  <si>
    <t>Unexpectedness@10_reranked</t>
  </si>
  <si>
    <t>Delta_Unexpectedness@5</t>
  </si>
  <si>
    <t>Delta_Unexpectedness@10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</si>
</sst>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"/>
  </numFmts>
  <fonts count="3" x14ac:knownFonts="1">
    <font>
      <sz val="11"/>
      <color theme="1"/>
      <name val="Calibri"/>
      <family val="2"/>
      <charset val="1"/>
    </font>
    <font>
      <b/>
      <sz val="10"/>
      <name val="Arial"/>
      <charset val="1"/>
    </font>
    <font>
      <sz val="1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C6EFCE"/>
        <bgColor rgb="FFCCFFFF"/>
      </patternFill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6EF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zoomScaleNormal="100" workbookViewId="0"/>
  </sheetViews>
  <sheetFormatPr defaultColWidth="8.6640625" defaultRowHeight="14.4" x14ac:dyDescent="0.3"/>
  <cols>
    <col min="1" max="2" width="16" customWidth="1"/>
    <col min="3" max="3" width="17" customWidth="1"/>
    <col min="4" max="4" width="20" customWidth="1"/>
    <col min="5" max="5" width="21" customWidth="1"/>
    <col min="6" max="6" width="18" customWidth="1"/>
    <col min="7" max="7" width="19" customWidth="1"/>
  </cols>
  <sheetData>
    <row r="1" spans="1:7" ht="19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3">
        <v>0.1174</v>
      </c>
      <c r="C2" s="3">
        <v>0.105</v>
      </c>
      <c r="D2" s="3">
        <v>6.0019000000000003E-2</v>
      </c>
      <c r="E2" s="3">
        <v>6.1321000000000001E-2</v>
      </c>
      <c r="F2" s="3">
        <v>-5.7381000000000001E-2</v>
      </c>
      <c r="G2" s="3">
        <v>-4.3679000000000003E-2</v>
      </c>
    </row>
    <row r="3" spans="1:7" x14ac:dyDescent="0.3">
      <c r="A3" s="2" t="s">
        <v>8</v>
      </c>
      <c r="B3" s="3">
        <v>9.2999999999999999E-2</v>
      </c>
      <c r="C3" s="3">
        <v>8.43E-2</v>
      </c>
      <c r="D3" s="3">
        <v>2.4027E-2</v>
      </c>
      <c r="E3" s="3">
        <v>2.6526999999999998E-2</v>
      </c>
      <c r="F3" s="3">
        <v>-6.8973000000000007E-2</v>
      </c>
      <c r="G3" s="3">
        <v>-5.7772999999999998E-2</v>
      </c>
    </row>
    <row r="4" spans="1:7" x14ac:dyDescent="0.3">
      <c r="A4" s="2" t="s">
        <v>9</v>
      </c>
      <c r="B4" s="3">
        <v>4.6600000000000003E-2</v>
      </c>
      <c r="C4" s="3">
        <v>4.3200000000000002E-2</v>
      </c>
      <c r="D4" s="3">
        <v>2.7168999999999999E-2</v>
      </c>
      <c r="E4" s="3">
        <v>2.9297E-2</v>
      </c>
      <c r="F4" s="3">
        <v>-1.9431E-2</v>
      </c>
      <c r="G4" s="3">
        <v>-1.3903E-2</v>
      </c>
    </row>
    <row r="5" spans="1:7" x14ac:dyDescent="0.3">
      <c r="A5" s="2" t="s">
        <v>10</v>
      </c>
      <c r="B5" s="3">
        <v>3.4099999999999998E-2</v>
      </c>
      <c r="C5" s="3">
        <v>0.04</v>
      </c>
      <c r="D5" s="3">
        <v>1.523E-2</v>
      </c>
      <c r="E5" s="3">
        <v>2.2747E-2</v>
      </c>
      <c r="F5" s="3">
        <v>-1.8870000000000001E-2</v>
      </c>
      <c r="G5" s="3">
        <v>-1.7253000000000001E-2</v>
      </c>
    </row>
    <row r="6" spans="1:7" x14ac:dyDescent="0.3">
      <c r="A6" s="2" t="s">
        <v>11</v>
      </c>
      <c r="B6" s="3">
        <v>6.5199999999999994E-2</v>
      </c>
      <c r="C6" s="3">
        <v>7.5600000000000001E-2</v>
      </c>
      <c r="D6" s="3">
        <v>2.3692000000000001E-2</v>
      </c>
      <c r="E6" s="3">
        <v>3.6061999999999997E-2</v>
      </c>
      <c r="F6" s="3">
        <v>-4.1508000000000003E-2</v>
      </c>
      <c r="G6" s="3">
        <v>-3.9537999999999997E-2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"/>
  <sheetViews>
    <sheetView zoomScaleNormal="100" workbookViewId="0"/>
  </sheetViews>
  <sheetFormatPr defaultColWidth="8.6640625" defaultRowHeight="14.4" x14ac:dyDescent="0.3"/>
  <cols>
    <col min="1" max="2" width="16" customWidth="1"/>
    <col min="3" max="3" width="17" customWidth="1"/>
    <col min="4" max="4" width="20" customWidth="1"/>
    <col min="5" max="5" width="21" customWidth="1"/>
    <col min="6" max="6" width="18" customWidth="1"/>
    <col min="7" max="7" width="19" customWidth="1"/>
  </cols>
  <sheetData>
    <row r="1" spans="1:7" ht="19.5" customHeight="1" x14ac:dyDescent="0.3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</row>
    <row r="2" spans="1:7" x14ac:dyDescent="0.3">
      <c r="A2" s="2" t="s">
        <v>7</v>
      </c>
      <c r="B2" s="3">
        <v>1.37E-2</v>
      </c>
      <c r="C2" s="3">
        <v>2.29E-2</v>
      </c>
      <c r="D2" s="3">
        <v>5.9630000000000004E-3</v>
      </c>
      <c r="E2" s="3">
        <v>1.2472E-2</v>
      </c>
      <c r="F2" s="3">
        <v>-7.737E-3</v>
      </c>
      <c r="G2" s="3">
        <v>-1.0428E-2</v>
      </c>
    </row>
    <row r="3" spans="1:7" x14ac:dyDescent="0.3">
      <c r="A3" s="2" t="s">
        <v>8</v>
      </c>
      <c r="B3" s="3">
        <v>1.14E-2</v>
      </c>
      <c r="C3" s="3">
        <v>1.89E-2</v>
      </c>
      <c r="D3" s="3">
        <v>2.33E-3</v>
      </c>
      <c r="E3" s="3">
        <v>5.287E-3</v>
      </c>
      <c r="F3" s="3">
        <v>-9.0699999999999999E-3</v>
      </c>
      <c r="G3" s="3">
        <v>-1.3613E-2</v>
      </c>
    </row>
    <row r="4" spans="1:7" x14ac:dyDescent="0.3">
      <c r="A4" s="2" t="s">
        <v>9</v>
      </c>
      <c r="B4" s="3">
        <v>4.1000000000000003E-3</v>
      </c>
      <c r="C4" s="3">
        <v>7.4999999999999997E-3</v>
      </c>
      <c r="D4" s="3">
        <v>2.6640000000000001E-3</v>
      </c>
      <c r="E4" s="3">
        <v>5.7270000000000003E-3</v>
      </c>
      <c r="F4" s="3">
        <v>-1.436E-3</v>
      </c>
      <c r="G4" s="3">
        <v>-1.7730000000000001E-3</v>
      </c>
    </row>
    <row r="5" spans="1:7" x14ac:dyDescent="0.3">
      <c r="A5" s="2" t="s">
        <v>10</v>
      </c>
      <c r="B5" s="3">
        <v>3.2599999999999997E-2</v>
      </c>
      <c r="C5" s="3">
        <v>5.2600000000000001E-2</v>
      </c>
      <c r="D5" s="3">
        <v>1.7585E-2</v>
      </c>
      <c r="E5" s="3">
        <v>3.678E-2</v>
      </c>
      <c r="F5" s="3">
        <v>-1.5015000000000001E-2</v>
      </c>
      <c r="G5" s="3">
        <v>-1.5820000000000001E-2</v>
      </c>
    </row>
    <row r="6" spans="1:7" x14ac:dyDescent="0.3">
      <c r="A6" s="2" t="s">
        <v>11</v>
      </c>
      <c r="B6" s="3">
        <v>6.1600000000000002E-2</v>
      </c>
      <c r="C6" s="3">
        <v>0.1019</v>
      </c>
      <c r="D6" s="3">
        <v>2.6929999999999999E-2</v>
      </c>
      <c r="E6" s="3">
        <v>5.8400000000000001E-2</v>
      </c>
      <c r="F6" s="3">
        <v>-3.4669999999999999E-2</v>
      </c>
      <c r="G6" s="3">
        <v>-4.3499999999999997E-2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"/>
  <sheetViews>
    <sheetView zoomScaleNormal="100" workbookViewId="0"/>
  </sheetViews>
  <sheetFormatPr defaultColWidth="8.6640625" defaultRowHeight="14.4" x14ac:dyDescent="0.3"/>
  <cols>
    <col min="1" max="2" width="16" customWidth="1"/>
    <col min="3" max="3" width="17" customWidth="1"/>
    <col min="4" max="4" width="20" customWidth="1"/>
    <col min="5" max="5" width="21" customWidth="1"/>
    <col min="6" max="6" width="18" customWidth="1"/>
    <col min="7" max="7" width="19" customWidth="1"/>
  </cols>
  <sheetData>
    <row r="1" spans="1:7" ht="19.5" customHeight="1" x14ac:dyDescent="0.3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</row>
    <row r="2" spans="1:7" x14ac:dyDescent="0.3">
      <c r="A2" s="2" t="s">
        <v>7</v>
      </c>
      <c r="B2" s="3">
        <v>0.10730000000000001</v>
      </c>
      <c r="C2" s="3">
        <v>9.3100000000000002E-2</v>
      </c>
      <c r="D2" s="3">
        <v>5.9920000000000001E-2</v>
      </c>
      <c r="E2" s="3">
        <v>6.1795999999999997E-2</v>
      </c>
      <c r="F2" s="3">
        <v>-4.7379999999999999E-2</v>
      </c>
      <c r="G2" s="3">
        <v>-3.1303999999999998E-2</v>
      </c>
    </row>
    <row r="3" spans="1:7" x14ac:dyDescent="0.3">
      <c r="A3" s="2" t="s">
        <v>8</v>
      </c>
      <c r="B3" s="3">
        <v>8.7999999999999995E-2</v>
      </c>
      <c r="C3" s="3">
        <v>7.6700000000000004E-2</v>
      </c>
      <c r="D3" s="3">
        <v>2.4901E-2</v>
      </c>
      <c r="E3" s="3">
        <v>2.8084000000000001E-2</v>
      </c>
      <c r="F3" s="3">
        <v>-6.3099000000000002E-2</v>
      </c>
      <c r="G3" s="3">
        <v>-4.8615999999999999E-2</v>
      </c>
    </row>
    <row r="4" spans="1:7" x14ac:dyDescent="0.3">
      <c r="A4" s="2" t="s">
        <v>9</v>
      </c>
      <c r="B4" s="3">
        <v>4.4299999999999999E-2</v>
      </c>
      <c r="C4" s="3">
        <v>4.0599999999999997E-2</v>
      </c>
      <c r="D4" s="3">
        <v>2.7515999999999999E-2</v>
      </c>
      <c r="E4" s="3">
        <v>3.0471999999999999E-2</v>
      </c>
      <c r="F4" s="3">
        <v>-1.6784E-2</v>
      </c>
      <c r="G4" s="3">
        <v>-1.0128E-2</v>
      </c>
    </row>
    <row r="5" spans="1:7" x14ac:dyDescent="0.3">
      <c r="A5" s="2" t="s">
        <v>10</v>
      </c>
      <c r="B5" s="3">
        <v>2.4799999999999999E-2</v>
      </c>
      <c r="C5" s="3">
        <v>2.0299999999999999E-2</v>
      </c>
      <c r="D5" s="3">
        <v>1.2121E-2</v>
      </c>
      <c r="E5" s="3">
        <v>1.3576E-2</v>
      </c>
      <c r="F5" s="3">
        <v>-1.2678999999999999E-2</v>
      </c>
      <c r="G5" s="3">
        <v>-6.7239999999999999E-3</v>
      </c>
    </row>
    <row r="6" spans="1:7" x14ac:dyDescent="0.3">
      <c r="A6" s="2" t="s">
        <v>11</v>
      </c>
      <c r="B6" s="3">
        <v>4.4499999999999998E-2</v>
      </c>
      <c r="C6" s="3">
        <v>3.5000000000000003E-2</v>
      </c>
      <c r="D6" s="3">
        <v>1.8667E-2</v>
      </c>
      <c r="E6" s="3">
        <v>2.1635999999999999E-2</v>
      </c>
      <c r="F6" s="3">
        <v>-2.5832999999999998E-2</v>
      </c>
      <c r="G6" s="3">
        <v>-1.3363999999999999E-2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6"/>
  <sheetViews>
    <sheetView zoomScaleNormal="100" workbookViewId="0">
      <selection activeCell="F17" sqref="F17"/>
    </sheetView>
  </sheetViews>
  <sheetFormatPr defaultColWidth="8.6640625" defaultRowHeight="14.4" x14ac:dyDescent="0.3"/>
  <cols>
    <col min="1" max="2" width="16" customWidth="1"/>
    <col min="3" max="3" width="17" customWidth="1"/>
    <col min="4" max="4" width="20" customWidth="1"/>
    <col min="5" max="5" width="21" customWidth="1"/>
    <col min="6" max="6" width="18" customWidth="1"/>
    <col min="7" max="7" width="19" customWidth="1"/>
  </cols>
  <sheetData>
    <row r="1" spans="1:7" ht="19.5" customHeight="1" x14ac:dyDescent="0.3">
      <c r="A1" s="1" t="s">
        <v>0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</row>
    <row r="2" spans="1:7" x14ac:dyDescent="0.3">
      <c r="A2" s="2" t="s">
        <v>7</v>
      </c>
      <c r="B2" s="4">
        <v>43.630600000000001</v>
      </c>
      <c r="C2" s="4">
        <v>39.604199999999999</v>
      </c>
      <c r="D2" s="4">
        <v>31.328823</v>
      </c>
      <c r="E2" s="4">
        <v>31.151450000000001</v>
      </c>
      <c r="F2" s="7">
        <v>-12.301777</v>
      </c>
      <c r="G2" s="6">
        <v>-8.45275</v>
      </c>
    </row>
    <row r="3" spans="1:7" x14ac:dyDescent="0.3">
      <c r="A3" s="2" t="s">
        <v>8</v>
      </c>
      <c r="B3" s="4">
        <v>45.842100000000002</v>
      </c>
      <c r="C3" s="4">
        <v>41.498199999999997</v>
      </c>
      <c r="D3" s="4">
        <v>30.909949000000001</v>
      </c>
      <c r="E3" s="4">
        <v>30.764696000000001</v>
      </c>
      <c r="F3" s="7">
        <v>-14.932150999999999</v>
      </c>
      <c r="G3" s="7">
        <v>-10.733504</v>
      </c>
    </row>
    <row r="4" spans="1:7" x14ac:dyDescent="0.3">
      <c r="A4" s="2" t="s">
        <v>9</v>
      </c>
      <c r="B4" s="4">
        <v>103.43510000000001</v>
      </c>
      <c r="C4" s="4">
        <v>94.900899999999993</v>
      </c>
      <c r="D4" s="4">
        <v>66.840363999999994</v>
      </c>
      <c r="E4" s="4">
        <v>67.844399999999993</v>
      </c>
      <c r="F4" s="7">
        <v>-36.594735999999997</v>
      </c>
      <c r="G4" s="7">
        <v>-27.0565</v>
      </c>
    </row>
    <row r="5" spans="1:7" x14ac:dyDescent="0.3">
      <c r="A5" s="2" t="s">
        <v>10</v>
      </c>
      <c r="B5" s="4">
        <v>36.142302999999998</v>
      </c>
      <c r="C5" s="4">
        <v>32.580485000000003</v>
      </c>
      <c r="D5" s="4">
        <v>27.343515</v>
      </c>
      <c r="E5" s="4">
        <v>27.854727</v>
      </c>
      <c r="F5" s="7">
        <f>D5-B5</f>
        <v>-8.7987879999999983</v>
      </c>
      <c r="G5" s="7">
        <f>E5-C5</f>
        <v>-4.7257580000000026</v>
      </c>
    </row>
    <row r="6" spans="1:7" x14ac:dyDescent="0.3">
      <c r="A6" s="2" t="s">
        <v>11</v>
      </c>
      <c r="B6" s="4">
        <v>38.290300000000002</v>
      </c>
      <c r="C6" s="4">
        <v>34.321599999999997</v>
      </c>
      <c r="D6" s="4">
        <v>28.467272999999999</v>
      </c>
      <c r="E6" s="4">
        <v>28.924727000000001</v>
      </c>
      <c r="F6" s="6">
        <v>-9.8230269999999997</v>
      </c>
      <c r="G6" s="6">
        <v>-5.3968730000000003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"/>
  <sheetViews>
    <sheetView tabSelected="1" zoomScaleNormal="100" workbookViewId="0">
      <selection activeCell="G8" sqref="G8"/>
    </sheetView>
  </sheetViews>
  <sheetFormatPr defaultColWidth="8.6640625" defaultRowHeight="14.4" x14ac:dyDescent="0.3"/>
  <cols>
    <col min="1" max="2" width="16" customWidth="1"/>
    <col min="3" max="3" width="17" customWidth="1"/>
    <col min="4" max="4" width="20" customWidth="1"/>
    <col min="5" max="5" width="21" customWidth="1"/>
    <col min="6" max="6" width="18" customWidth="1"/>
    <col min="7" max="7" width="19" customWidth="1"/>
  </cols>
  <sheetData>
    <row r="1" spans="1:7" ht="19.5" customHeight="1" x14ac:dyDescent="0.3">
      <c r="A1" s="1" t="s">
        <v>0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</row>
    <row r="2" spans="1:7" x14ac:dyDescent="0.3">
      <c r="A2" s="2" t="s">
        <v>7</v>
      </c>
      <c r="B2" s="3">
        <v>0.97809999999999997</v>
      </c>
      <c r="C2" s="3">
        <v>0.96419999999999995</v>
      </c>
      <c r="D2" s="3">
        <v>0.97060500000000005</v>
      </c>
      <c r="E2" s="3">
        <v>0.95491499999999996</v>
      </c>
      <c r="F2" s="6">
        <v>-7.4949999999999999E-3</v>
      </c>
      <c r="G2" s="6">
        <v>-9.2849999999999999E-3</v>
      </c>
    </row>
    <row r="3" spans="1:7" x14ac:dyDescent="0.3">
      <c r="A3" s="2" t="s">
        <v>8</v>
      </c>
      <c r="B3" s="3">
        <v>0.98629999999999995</v>
      </c>
      <c r="C3" s="3">
        <v>0.97819999999999996</v>
      </c>
      <c r="D3" s="3">
        <v>0.98132900000000001</v>
      </c>
      <c r="E3" s="3">
        <v>0.97152899999999998</v>
      </c>
      <c r="F3" s="6">
        <v>-4.9709999999999997E-3</v>
      </c>
      <c r="G3" s="6">
        <v>-6.6709999999999998E-3</v>
      </c>
    </row>
    <row r="4" spans="1:7" x14ac:dyDescent="0.3">
      <c r="A4" s="2" t="s">
        <v>9</v>
      </c>
      <c r="B4" s="3">
        <v>0.99890000000000001</v>
      </c>
      <c r="C4" s="3">
        <v>0.99790000000000001</v>
      </c>
      <c r="D4" s="3">
        <v>0.99749399999999999</v>
      </c>
      <c r="E4" s="3">
        <v>0.99643400000000004</v>
      </c>
      <c r="F4" s="6">
        <v>-1.4059999999999999E-3</v>
      </c>
      <c r="G4" s="6">
        <v>-1.4660000000000001E-3</v>
      </c>
    </row>
    <row r="5" spans="1:7" x14ac:dyDescent="0.3">
      <c r="A5" s="2" t="s">
        <v>10</v>
      </c>
      <c r="B5" s="3">
        <v>0.92520000000000002</v>
      </c>
      <c r="C5" s="3">
        <v>0.89129999999999998</v>
      </c>
      <c r="D5" s="3">
        <v>0.90398800000000001</v>
      </c>
      <c r="E5" s="3">
        <v>0.86943400000000004</v>
      </c>
      <c r="F5" s="6">
        <v>-2.1212000000000002E-2</v>
      </c>
      <c r="G5" s="6">
        <v>-2.1866E-2</v>
      </c>
    </row>
    <row r="6" spans="1:7" x14ac:dyDescent="0.3">
      <c r="A6" s="2" t="s">
        <v>11</v>
      </c>
      <c r="B6" s="3">
        <v>0.93930000000000002</v>
      </c>
      <c r="C6" s="3">
        <v>0.91180000000000005</v>
      </c>
      <c r="D6" s="3">
        <v>0.91483800000000004</v>
      </c>
      <c r="E6" s="3">
        <v>0.88949599999999995</v>
      </c>
      <c r="F6" s="6">
        <v>-2.4462000000000001E-2</v>
      </c>
      <c r="G6" s="6">
        <v>-2.2304000000000001E-2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"/>
  <sheetViews>
    <sheetView zoomScaleNormal="100" workbookViewId="0"/>
  </sheetViews>
  <sheetFormatPr defaultColWidth="8.6640625" defaultRowHeight="14.4" x14ac:dyDescent="0.3"/>
  <cols>
    <col min="1" max="2" width="16" customWidth="1"/>
    <col min="3" max="3" width="17" customWidth="1"/>
    <col min="4" max="4" width="20" customWidth="1"/>
    <col min="5" max="5" width="21" customWidth="1"/>
    <col min="6" max="6" width="18" customWidth="1"/>
    <col min="7" max="7" width="19" customWidth="1"/>
  </cols>
  <sheetData>
    <row r="1" spans="1:7" ht="19.5" customHeight="1" x14ac:dyDescent="0.3">
      <c r="A1" s="1" t="s">
        <v>0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</row>
    <row r="2" spans="1:7" x14ac:dyDescent="0.3">
      <c r="A2" s="2" t="s">
        <v>7</v>
      </c>
      <c r="B2" s="3">
        <v>2.2000000000000001E-3</v>
      </c>
      <c r="C2" s="3">
        <v>1.4E-3</v>
      </c>
      <c r="D2" s="3">
        <v>1.9400000000000001E-3</v>
      </c>
      <c r="E2" s="3">
        <v>1.227E-3</v>
      </c>
      <c r="F2" s="3">
        <v>-2.5999999999999998E-4</v>
      </c>
      <c r="G2" s="3">
        <v>-1.73E-4</v>
      </c>
    </row>
    <row r="3" spans="1:7" x14ac:dyDescent="0.3">
      <c r="A3" s="2" t="s">
        <v>8</v>
      </c>
      <c r="B3" s="3">
        <v>2.8E-3</v>
      </c>
      <c r="C3" s="3">
        <v>1.8E-3</v>
      </c>
      <c r="D3" s="3">
        <v>2.3969999999999998E-3</v>
      </c>
      <c r="E3" s="3">
        <v>1.539E-3</v>
      </c>
      <c r="F3" s="3">
        <v>-4.0299999999999998E-4</v>
      </c>
      <c r="G3" s="3">
        <v>-2.61E-4</v>
      </c>
    </row>
    <row r="4" spans="1:7" x14ac:dyDescent="0.3">
      <c r="A4" s="2" t="s">
        <v>9</v>
      </c>
      <c r="B4" s="3">
        <v>1.35E-2</v>
      </c>
      <c r="C4" s="3">
        <v>8.6E-3</v>
      </c>
      <c r="D4" s="3">
        <v>7.7289999999999998E-3</v>
      </c>
      <c r="E4" s="3">
        <v>5.9709999999999997E-3</v>
      </c>
      <c r="F4" s="3">
        <v>-5.7710000000000001E-3</v>
      </c>
      <c r="G4" s="3">
        <v>-2.6289999999999998E-3</v>
      </c>
    </row>
    <row r="5" spans="1:7" x14ac:dyDescent="0.3">
      <c r="A5" s="2" t="s">
        <v>10</v>
      </c>
      <c r="B5" s="3">
        <v>4.4000000000000003E-3</v>
      </c>
      <c r="C5" s="3">
        <v>3.0000000000000001E-3</v>
      </c>
      <c r="D5" s="3">
        <v>3.9760000000000004E-3</v>
      </c>
      <c r="E5" s="3">
        <v>2.7620000000000001E-3</v>
      </c>
      <c r="F5" s="3">
        <v>-4.2400000000000001E-4</v>
      </c>
      <c r="G5" s="3">
        <v>-2.3800000000000001E-4</v>
      </c>
    </row>
    <row r="6" spans="1:7" x14ac:dyDescent="0.3">
      <c r="A6" s="2" t="s">
        <v>11</v>
      </c>
      <c r="B6" s="3">
        <v>5.0000000000000001E-3</v>
      </c>
      <c r="C6" s="3">
        <v>3.5999999999999999E-3</v>
      </c>
      <c r="D6" s="3">
        <v>4.3179999999999998E-3</v>
      </c>
      <c r="E6" s="3">
        <v>3.1229999999999999E-3</v>
      </c>
      <c r="F6" s="3">
        <v>-6.8199999999999999E-4</v>
      </c>
      <c r="G6" s="3">
        <v>-4.7699999999999999E-4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6"/>
  <sheetViews>
    <sheetView zoomScaleNormal="100" workbookViewId="0">
      <selection activeCell="F2" sqref="F2"/>
    </sheetView>
  </sheetViews>
  <sheetFormatPr defaultColWidth="8.6640625" defaultRowHeight="14.4" x14ac:dyDescent="0.3"/>
  <cols>
    <col min="1" max="2" width="16" customWidth="1"/>
    <col min="3" max="3" width="17" customWidth="1"/>
    <col min="4" max="4" width="20" customWidth="1"/>
    <col min="5" max="5" width="21" customWidth="1"/>
    <col min="6" max="6" width="18" customWidth="1"/>
    <col min="7" max="7" width="19" customWidth="1"/>
  </cols>
  <sheetData>
    <row r="1" spans="1:7" ht="19.5" customHeight="1" x14ac:dyDescent="0.3">
      <c r="A1" s="1" t="s">
        <v>0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</row>
    <row r="2" spans="1:7" x14ac:dyDescent="0.3">
      <c r="A2" s="2" t="s">
        <v>7</v>
      </c>
      <c r="B2" s="3">
        <v>0.31817299999999998</v>
      </c>
      <c r="C2" s="3">
        <v>0.32502799999999998</v>
      </c>
      <c r="D2" s="3">
        <v>0.34712799999999999</v>
      </c>
      <c r="E2" s="3">
        <v>0.34385300000000002</v>
      </c>
      <c r="F2" s="5">
        <v>2.8955000000000002E-2</v>
      </c>
      <c r="G2" s="5">
        <v>1.8825000000000001E-2</v>
      </c>
    </row>
    <row r="3" spans="1:7" x14ac:dyDescent="0.3">
      <c r="A3" s="2" t="s">
        <v>8</v>
      </c>
      <c r="B3" s="3">
        <v>0.30345699999999998</v>
      </c>
      <c r="C3" s="3">
        <v>0.31017899999999998</v>
      </c>
      <c r="D3" s="3">
        <v>0.33762999999999999</v>
      </c>
      <c r="E3" s="3">
        <v>0.33308300000000002</v>
      </c>
      <c r="F3" s="5">
        <v>3.4173000000000002E-2</v>
      </c>
      <c r="G3" s="5">
        <v>2.2903E-2</v>
      </c>
    </row>
    <row r="4" spans="1:7" x14ac:dyDescent="0.3">
      <c r="A4" s="2" t="s">
        <v>9</v>
      </c>
      <c r="B4" s="3">
        <v>0.23319200000000001</v>
      </c>
      <c r="C4" s="3">
        <v>0.23999899999999999</v>
      </c>
      <c r="D4" s="3">
        <v>0.25686999999999999</v>
      </c>
      <c r="E4" s="3">
        <v>0.25660699999999997</v>
      </c>
      <c r="F4" s="5">
        <v>2.3678000000000001E-2</v>
      </c>
      <c r="G4" s="5">
        <v>1.6608999999999999E-2</v>
      </c>
    </row>
    <row r="5" spans="1:7" x14ac:dyDescent="0.3">
      <c r="A5" s="2" t="s">
        <v>10</v>
      </c>
      <c r="B5" s="3">
        <v>0.31585200000000002</v>
      </c>
      <c r="C5" s="3">
        <v>0.32576100000000002</v>
      </c>
      <c r="D5" s="3">
        <v>0.34734100000000001</v>
      </c>
      <c r="E5" s="3">
        <v>0.34305799999999997</v>
      </c>
      <c r="F5" s="5">
        <v>3.1489000000000003E-2</v>
      </c>
      <c r="G5" s="5">
        <v>1.7295999999999999E-2</v>
      </c>
    </row>
    <row r="6" spans="1:7" x14ac:dyDescent="0.3">
      <c r="A6" s="2" t="s">
        <v>11</v>
      </c>
      <c r="B6" s="3">
        <v>0.30096099999999998</v>
      </c>
      <c r="C6" s="3">
        <v>0.31054300000000001</v>
      </c>
      <c r="D6" s="3">
        <v>0.330735</v>
      </c>
      <c r="E6" s="3">
        <v>0.32818799999999998</v>
      </c>
      <c r="F6" s="5">
        <v>2.9773999999999998E-2</v>
      </c>
      <c r="G6" s="5">
        <v>1.7644E-2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6"/>
  <sheetViews>
    <sheetView zoomScaleNormal="100" workbookViewId="0"/>
  </sheetViews>
  <sheetFormatPr defaultColWidth="8.6640625" defaultRowHeight="14.4" x14ac:dyDescent="0.3"/>
  <cols>
    <col min="1" max="2" width="16" customWidth="1"/>
    <col min="3" max="3" width="17" customWidth="1"/>
    <col min="4" max="4" width="20" customWidth="1"/>
    <col min="5" max="5" width="21" customWidth="1"/>
    <col min="6" max="6" width="18" customWidth="1"/>
    <col min="7" max="7" width="19" customWidth="1"/>
  </cols>
  <sheetData>
    <row r="1" spans="1:7" ht="19.5" customHeight="1" x14ac:dyDescent="0.3">
      <c r="A1" s="1" t="s">
        <v>0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</row>
    <row r="2" spans="1:7" x14ac:dyDescent="0.3">
      <c r="A2" s="2" t="s">
        <v>7</v>
      </c>
      <c r="B2" s="3">
        <v>4.3177E-2</v>
      </c>
      <c r="C2" s="3">
        <v>7.5119000000000005E-2</v>
      </c>
      <c r="D2" s="3">
        <v>5.1917999999999999E-2</v>
      </c>
      <c r="E2" s="3">
        <v>8.6763999999999994E-2</v>
      </c>
      <c r="F2" s="5">
        <v>8.7399999999999995E-3</v>
      </c>
      <c r="G2" s="5">
        <v>1.1645000000000001E-2</v>
      </c>
    </row>
    <row r="3" spans="1:7" x14ac:dyDescent="0.3">
      <c r="A3" s="2" t="s">
        <v>8</v>
      </c>
      <c r="B3" s="3">
        <v>3.2017999999999998E-2</v>
      </c>
      <c r="C3" s="3">
        <v>5.4323000000000003E-2</v>
      </c>
      <c r="D3" s="3">
        <v>3.9491999999999999E-2</v>
      </c>
      <c r="E3" s="3">
        <v>6.5265000000000004E-2</v>
      </c>
      <c r="F3" s="5">
        <v>7.4729999999999996E-3</v>
      </c>
      <c r="G3" s="5">
        <v>1.0940999999999999E-2</v>
      </c>
    </row>
    <row r="4" spans="1:7" x14ac:dyDescent="0.3">
      <c r="A4" s="2" t="s">
        <v>9</v>
      </c>
      <c r="B4" s="3">
        <v>4.4149999999999997E-3</v>
      </c>
      <c r="C4" s="3">
        <v>7.8569999999999994E-3</v>
      </c>
      <c r="D4" s="3">
        <v>9.0089999999999996E-3</v>
      </c>
      <c r="E4" s="3">
        <v>1.2503E-2</v>
      </c>
      <c r="F4" s="5">
        <v>4.594E-3</v>
      </c>
      <c r="G4" s="5">
        <v>4.6449999999999998E-3</v>
      </c>
    </row>
    <row r="5" spans="1:7" x14ac:dyDescent="0.3">
      <c r="A5" s="2" t="s">
        <v>10</v>
      </c>
      <c r="B5" s="3">
        <v>0.22889599999999999</v>
      </c>
      <c r="C5" s="3">
        <v>0.35543799999999998</v>
      </c>
      <c r="D5" s="3">
        <v>0.26317499999999999</v>
      </c>
      <c r="E5" s="3">
        <v>0.39740500000000001</v>
      </c>
      <c r="F5" s="5">
        <v>3.4278000000000003E-2</v>
      </c>
      <c r="G5" s="5">
        <v>4.1966999999999997E-2</v>
      </c>
    </row>
    <row r="6" spans="1:7" x14ac:dyDescent="0.3">
      <c r="A6" s="2" t="s">
        <v>11</v>
      </c>
      <c r="B6" s="3">
        <v>0.195739</v>
      </c>
      <c r="C6" s="3">
        <v>0.29248800000000003</v>
      </c>
      <c r="D6" s="3">
        <v>0.23818700000000001</v>
      </c>
      <c r="E6" s="3">
        <v>0.34422599999999998</v>
      </c>
      <c r="F6" s="5">
        <v>4.2448E-2</v>
      </c>
      <c r="G6" s="5">
        <v>5.1737999999999999E-2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6"/>
  <sheetViews>
    <sheetView zoomScaleNormal="100" workbookViewId="0"/>
  </sheetViews>
  <sheetFormatPr defaultColWidth="8.6640625" defaultRowHeight="14.4" x14ac:dyDescent="0.3"/>
  <cols>
    <col min="1" max="2" width="16" customWidth="1"/>
    <col min="3" max="3" width="17" customWidth="1"/>
    <col min="4" max="4" width="20" customWidth="1"/>
    <col min="5" max="5" width="21" customWidth="1"/>
    <col min="6" max="6" width="18" customWidth="1"/>
    <col min="7" max="7" width="19" customWidth="1"/>
  </cols>
  <sheetData>
    <row r="1" spans="1:7" ht="19.5" customHeight="1" x14ac:dyDescent="0.3">
      <c r="A1" s="1" t="s">
        <v>0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</row>
    <row r="2" spans="1:7" x14ac:dyDescent="0.3">
      <c r="A2" s="2" t="s">
        <v>7</v>
      </c>
      <c r="B2" s="3">
        <v>0.102899</v>
      </c>
      <c r="C2" s="3">
        <v>8.8800000000000004E-2</v>
      </c>
      <c r="D2" s="3">
        <v>5.9579E-2</v>
      </c>
      <c r="E2" s="3">
        <v>6.0317999999999997E-2</v>
      </c>
      <c r="F2" s="3">
        <v>-4.3319999999999997E-2</v>
      </c>
      <c r="G2" s="3">
        <v>-2.8482E-2</v>
      </c>
    </row>
    <row r="3" spans="1:7" x14ac:dyDescent="0.3">
      <c r="A3" s="2" t="s">
        <v>8</v>
      </c>
      <c r="B3" s="3">
        <v>8.1295999999999993E-2</v>
      </c>
      <c r="C3" s="3">
        <v>7.1403999999999995E-2</v>
      </c>
      <c r="D3" s="3">
        <v>2.4901E-2</v>
      </c>
      <c r="E3" s="3">
        <v>2.8027E-2</v>
      </c>
      <c r="F3" s="3">
        <v>-5.6396000000000002E-2</v>
      </c>
      <c r="G3" s="3">
        <v>-4.3376999999999999E-2</v>
      </c>
    </row>
    <row r="4" spans="1:7" x14ac:dyDescent="0.3">
      <c r="A4" s="2" t="s">
        <v>9</v>
      </c>
      <c r="B4" s="3">
        <v>3.9567999999999999E-2</v>
      </c>
      <c r="C4" s="3">
        <v>3.4395000000000002E-2</v>
      </c>
      <c r="D4" s="3">
        <v>2.6720000000000001E-2</v>
      </c>
      <c r="E4" s="3">
        <v>2.8482E-2</v>
      </c>
      <c r="F4" s="3">
        <v>-1.2848E-2</v>
      </c>
      <c r="G4" s="3">
        <v>-5.9119999999999997E-3</v>
      </c>
    </row>
    <row r="5" spans="1:7" x14ac:dyDescent="0.3">
      <c r="A5" s="2" t="s">
        <v>10</v>
      </c>
      <c r="B5" s="3">
        <v>2.3879000000000001E-2</v>
      </c>
      <c r="C5" s="3">
        <v>1.8667E-2</v>
      </c>
      <c r="D5" s="3">
        <v>1.1273E-2</v>
      </c>
      <c r="E5" s="3">
        <v>1.2727E-2</v>
      </c>
      <c r="F5" s="3">
        <v>-1.2605999999999999E-2</v>
      </c>
      <c r="G5" s="3">
        <v>-5.9389999999999998E-3</v>
      </c>
    </row>
    <row r="6" spans="1:7" x14ac:dyDescent="0.3">
      <c r="A6" s="2" t="s">
        <v>11</v>
      </c>
      <c r="B6" s="3">
        <v>4.1938999999999997E-2</v>
      </c>
      <c r="C6" s="3">
        <v>3.2120999999999997E-2</v>
      </c>
      <c r="D6" s="3">
        <v>1.7090999999999999E-2</v>
      </c>
      <c r="E6" s="3">
        <v>2.0121E-2</v>
      </c>
      <c r="F6" s="3">
        <v>-2.4847999999999999E-2</v>
      </c>
      <c r="G6" s="3">
        <v>-1.2E-2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6"/>
  <sheetViews>
    <sheetView zoomScaleNormal="100" workbookViewId="0"/>
  </sheetViews>
  <sheetFormatPr defaultColWidth="8.6640625" defaultRowHeight="14.4" x14ac:dyDescent="0.3"/>
  <cols>
    <col min="1" max="2" width="16" customWidth="1"/>
    <col min="3" max="3" width="17" customWidth="1"/>
    <col min="4" max="4" width="20" customWidth="1"/>
    <col min="5" max="5" width="21" customWidth="1"/>
    <col min="6" max="6" width="18" customWidth="1"/>
    <col min="7" max="7" width="19" customWidth="1"/>
  </cols>
  <sheetData>
    <row r="1" spans="1:7" ht="19.5" customHeight="1" x14ac:dyDescent="0.3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</row>
    <row r="2" spans="1:7" x14ac:dyDescent="0.3">
      <c r="A2" s="2" t="s">
        <v>7</v>
      </c>
      <c r="B2" s="3">
        <v>2.3741000000000002E-2</v>
      </c>
      <c r="C2" s="3">
        <v>2.1187000000000001E-2</v>
      </c>
      <c r="D2" s="3">
        <v>1.3634E-2</v>
      </c>
      <c r="E2" s="3">
        <v>1.4130999999999999E-2</v>
      </c>
      <c r="F2" s="3">
        <v>-1.0106E-2</v>
      </c>
      <c r="G2" s="3">
        <v>-7.0559999999999998E-3</v>
      </c>
    </row>
    <row r="3" spans="1:7" x14ac:dyDescent="0.3">
      <c r="A3" s="2" t="s">
        <v>8</v>
      </c>
      <c r="B3" s="3">
        <v>1.3220000000000001E-2</v>
      </c>
      <c r="C3" s="3">
        <v>1.1759E-2</v>
      </c>
      <c r="D3" s="3">
        <v>4.0679999999999996E-3</v>
      </c>
      <c r="E3" s="3">
        <v>4.529E-3</v>
      </c>
      <c r="F3" s="3">
        <v>-9.1520000000000004E-3</v>
      </c>
      <c r="G3" s="3">
        <v>-7.2290000000000002E-3</v>
      </c>
    </row>
    <row r="4" spans="1:7" x14ac:dyDescent="0.3">
      <c r="A4" s="2" t="s">
        <v>9</v>
      </c>
      <c r="B4" s="3">
        <v>9.044E-3</v>
      </c>
      <c r="C4" s="3">
        <v>8.2909999999999998E-3</v>
      </c>
      <c r="D4" s="3">
        <v>5.2220000000000001E-3</v>
      </c>
      <c r="E4" s="3">
        <v>5.9849999999999999E-3</v>
      </c>
      <c r="F4" s="3">
        <v>-3.8219999999999999E-3</v>
      </c>
      <c r="G4" s="3">
        <v>-2.3059999999999999E-3</v>
      </c>
    </row>
    <row r="5" spans="1:7" x14ac:dyDescent="0.3">
      <c r="A5" s="2" t="s">
        <v>10</v>
      </c>
      <c r="B5" s="3">
        <v>1.2454E-2</v>
      </c>
      <c r="C5" s="3">
        <v>1.0149999999999999E-2</v>
      </c>
      <c r="D5" s="3">
        <v>5.8409999999999998E-3</v>
      </c>
      <c r="E5" s="3">
        <v>6.6579999999999999E-3</v>
      </c>
      <c r="F5" s="3">
        <v>-6.613E-3</v>
      </c>
      <c r="G5" s="3">
        <v>-3.4919999999999999E-3</v>
      </c>
    </row>
    <row r="6" spans="1:7" x14ac:dyDescent="0.3">
      <c r="A6" s="2" t="s">
        <v>11</v>
      </c>
      <c r="B6" s="3">
        <v>7.5310000000000004E-3</v>
      </c>
      <c r="C6" s="3">
        <v>6.0439999999999999E-3</v>
      </c>
      <c r="D6" s="3">
        <v>3.578E-3</v>
      </c>
      <c r="E6" s="3">
        <v>3.9500000000000004E-3</v>
      </c>
      <c r="F6" s="3">
        <v>-3.9529999999999999E-3</v>
      </c>
      <c r="G6" s="3">
        <v>-2.0939999999999999E-3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6"/>
  <sheetViews>
    <sheetView zoomScaleNormal="100" workbookViewId="0"/>
  </sheetViews>
  <sheetFormatPr defaultColWidth="8.6640625" defaultRowHeight="14.4" x14ac:dyDescent="0.3"/>
  <cols>
    <col min="1" max="2" width="16" customWidth="1"/>
    <col min="3" max="3" width="17" customWidth="1"/>
    <col min="4" max="4" width="20" customWidth="1"/>
    <col min="5" max="5" width="21" customWidth="1"/>
    <col min="6" max="6" width="18" customWidth="1"/>
    <col min="7" max="7" width="19" customWidth="1"/>
  </cols>
  <sheetData>
    <row r="1" spans="1:7" ht="19.5" customHeight="1" x14ac:dyDescent="0.3">
      <c r="A1" s="1" t="s">
        <v>0</v>
      </c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</row>
    <row r="2" spans="1:7" x14ac:dyDescent="0.3">
      <c r="A2" s="2" t="s">
        <v>7</v>
      </c>
      <c r="B2" s="3">
        <v>0.214922</v>
      </c>
      <c r="C2" s="3">
        <v>0.21882299999999999</v>
      </c>
      <c r="D2" s="3">
        <v>0.21996299999999999</v>
      </c>
      <c r="E2" s="3">
        <v>0.22076000000000001</v>
      </c>
      <c r="F2" s="5">
        <v>5.0410000000000003E-3</v>
      </c>
      <c r="G2" s="5">
        <v>1.936E-3</v>
      </c>
    </row>
    <row r="3" spans="1:7" x14ac:dyDescent="0.3">
      <c r="A3" s="2" t="s">
        <v>8</v>
      </c>
      <c r="B3" s="3">
        <v>0.16289500000000001</v>
      </c>
      <c r="C3" s="3">
        <v>0.166155</v>
      </c>
      <c r="D3" s="3">
        <v>0.18037500000000001</v>
      </c>
      <c r="E3" s="3">
        <v>0.17937400000000001</v>
      </c>
      <c r="F3" s="5">
        <v>1.7479000000000001E-2</v>
      </c>
      <c r="G3" s="5">
        <v>1.3219E-2</v>
      </c>
    </row>
    <row r="4" spans="1:7" x14ac:dyDescent="0.3">
      <c r="A4" s="2" t="s">
        <v>9</v>
      </c>
      <c r="B4" s="3">
        <v>0.25114999999999998</v>
      </c>
      <c r="C4" s="3">
        <v>0.23707300000000001</v>
      </c>
      <c r="D4" s="3">
        <v>0.22506000000000001</v>
      </c>
      <c r="E4" s="3">
        <v>0.22283500000000001</v>
      </c>
      <c r="F4" s="3">
        <v>-2.6091E-2</v>
      </c>
      <c r="G4" s="3">
        <v>-1.4237E-2</v>
      </c>
    </row>
    <row r="5" spans="1:7" x14ac:dyDescent="0.3">
      <c r="A5" s="2" t="s">
        <v>10</v>
      </c>
      <c r="B5" s="3">
        <v>0.50426000000000004</v>
      </c>
      <c r="C5" s="3">
        <v>0.50309899999999996</v>
      </c>
      <c r="D5" s="3">
        <v>0.49987900000000002</v>
      </c>
      <c r="E5" s="3">
        <v>0.50022800000000001</v>
      </c>
      <c r="F5" s="3">
        <v>-4.3810000000000003E-3</v>
      </c>
      <c r="G5" s="3">
        <v>-2.8709999999999999E-3</v>
      </c>
    </row>
    <row r="6" spans="1:7" x14ac:dyDescent="0.3">
      <c r="A6" s="2" t="s">
        <v>11</v>
      </c>
      <c r="B6" s="3">
        <v>0.18837499999999999</v>
      </c>
      <c r="C6" s="3">
        <v>0.19394400000000001</v>
      </c>
      <c r="D6" s="3">
        <v>0.20768300000000001</v>
      </c>
      <c r="E6" s="3">
        <v>0.204903</v>
      </c>
      <c r="F6" s="5">
        <v>1.9307999999999999E-2</v>
      </c>
      <c r="G6" s="5">
        <v>1.0959999999999999E-2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11</vt:i4>
      </vt:variant>
    </vt:vector>
  </HeadingPairs>
  <TitlesOfParts>
    <vt:vector size="11" baseType="lpstr">
      <vt:lpstr>ndcg</vt:lpstr>
      <vt:lpstr>recall</vt:lpstr>
      <vt:lpstr>precision</vt:lpstr>
      <vt:lpstr>averagepopularity</vt:lpstr>
      <vt:lpstr>giniindex</vt:lpstr>
      <vt:lpstr>shannonentropy</vt:lpstr>
      <vt:lpstr>Novelty</vt:lpstr>
      <vt:lpstr>ItemCoverage</vt:lpstr>
      <vt:lpstr>Serendipity_Ge</vt:lpstr>
      <vt:lpstr>Serendipity_Yan</vt:lpstr>
      <vt:lpstr>Unexpectedness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MARTINELLI FEDERICO</cp:lastModifiedBy>
  <cp:revision>0</cp:revision>
  <dcterms:created xsi:type="dcterms:W3CDTF">2026-03-25T00:16:38Z</dcterms:created>
  <dcterms:modified xsi:type="dcterms:W3CDTF">2026-03-26T19:13:14Z</dcterms:modified>
  <dc:language>en-US</dc:language>
</cp:coreProperties>
</file>